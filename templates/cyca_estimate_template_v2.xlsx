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見積書" sheetId="1" state="visible" r:id="rId3"/>
    <sheet name="工事内容" sheetId="2" state="visible" r:id="rId4"/>
    <sheet name="工事内容明細1" sheetId="3" state="visible" r:id="rId5"/>
  </sheets>
  <definedNames>
    <definedName function="false" hidden="false" localSheetId="0" name="_xlnm.Print_Area" vbProcedure="false">見積書!$A$1:$J$28</definedName>
    <definedName function="false" hidden="false" localSheetId="1" name="_xlnm.Print_Area" vbProcedure="false">工事内容!$A$1:$H$26</definedName>
    <definedName function="false" hidden="false" localSheetId="2" name="_xlnm.Print_Area" vbProcedure="false">工事内容明細1!$A$1:$H$27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<sst xmlns="http://schemas.openxmlformats.org/spreadsheetml/2006/main" count="83" uniqueCount="61">
  <si>
    <t xml:space="preserve">御　見　積　書</t>
  </si>
  <si>
    <t xml:space="preserve">見積日</t>
  </si>
  <si>
    <r>
      <rPr>
        <sz val="11"/>
        <color rgb="FF000000"/>
        <rFont val="Yu Gothic"/>
        <family val="0"/>
        <charset val="1"/>
      </rPr>
      <t xml:space="preserve">2026</t>
    </r>
    <r>
      <rPr>
        <sz val="11"/>
        <color rgb="FF000000"/>
        <rFont val="游ゴシック体"/>
        <family val="2"/>
      </rPr>
      <t xml:space="preserve">年</t>
    </r>
    <r>
      <rPr>
        <sz val="11"/>
        <color rgb="FF000000"/>
        <rFont val="Yu Gothic"/>
        <family val="0"/>
        <charset val="1"/>
      </rPr>
      <t xml:space="preserve">3</t>
    </r>
    <r>
      <rPr>
        <sz val="11"/>
        <color rgb="FF000000"/>
        <rFont val="游ゴシック体"/>
        <family val="2"/>
      </rPr>
      <t xml:space="preserve">月</t>
    </r>
    <r>
      <rPr>
        <sz val="11"/>
        <color rgb="FF000000"/>
        <rFont val="Yu Gothic"/>
        <family val="0"/>
        <charset val="1"/>
      </rPr>
      <t xml:space="preserve">30</t>
    </r>
    <r>
      <rPr>
        <sz val="11"/>
        <color rgb="FF000000"/>
        <rFont val="游ゴシック体"/>
        <family val="2"/>
      </rPr>
      <t xml:space="preserve">日 月曜日</t>
    </r>
  </si>
  <si>
    <t xml:space="preserve">登録番号</t>
  </si>
  <si>
    <t xml:space="preserve">T 3290001074771</t>
  </si>
  <si>
    <t xml:space="preserve">浜新硝子株式会社</t>
  </si>
  <si>
    <t xml:space="preserve">御中</t>
  </si>
  <si>
    <t xml:space="preserve">下記の通りお見積もり申し上げます。</t>
  </si>
  <si>
    <t xml:space="preserve">御見積もり金額</t>
  </si>
  <si>
    <t xml:space="preserve">－</t>
  </si>
  <si>
    <t xml:space="preserve">工事名称</t>
  </si>
  <si>
    <t xml:space="preserve">浜新硝子佐賀工場　雨漏り修理</t>
  </si>
  <si>
    <t xml:space="preserve">彩架建設株式会社</t>
  </si>
  <si>
    <t xml:space="preserve">工事場所</t>
  </si>
  <si>
    <r>
      <rPr>
        <sz val="9"/>
        <color rgb="FF000000"/>
        <rFont val="游ゴシック体"/>
        <family val="2"/>
      </rPr>
      <t xml:space="preserve">〒</t>
    </r>
    <r>
      <rPr>
        <sz val="9"/>
        <color rgb="FF000000"/>
        <rFont val="Yu Gothic"/>
        <family val="0"/>
        <charset val="1"/>
      </rPr>
      <t xml:space="preserve">839-0841 </t>
    </r>
    <r>
      <rPr>
        <sz val="9"/>
        <color rgb="FF000000"/>
        <rFont val="游ゴシック体"/>
        <family val="2"/>
      </rPr>
      <t xml:space="preserve">福岡県久留米市御井旗崎</t>
    </r>
    <r>
      <rPr>
        <sz val="9"/>
        <color rgb="FF000000"/>
        <rFont val="Yu Gothic"/>
        <family val="0"/>
        <charset val="1"/>
      </rPr>
      <t xml:space="preserve">1</t>
    </r>
    <r>
      <rPr>
        <sz val="9"/>
        <color rgb="FF000000"/>
        <rFont val="游ゴシック体"/>
        <family val="2"/>
      </rPr>
      <t xml:space="preserve">丁目</t>
    </r>
    <r>
      <rPr>
        <sz val="9"/>
        <color rgb="FF000000"/>
        <rFont val="Yu Gothic"/>
        <family val="0"/>
        <charset val="1"/>
      </rPr>
      <t xml:space="preserve">7-41</t>
    </r>
  </si>
  <si>
    <t xml:space="preserve">工事期間</t>
  </si>
  <si>
    <r>
      <rPr>
        <sz val="9"/>
        <color rgb="FF000000"/>
        <rFont val="Yu Gothic"/>
        <family val="0"/>
        <charset val="1"/>
      </rPr>
      <t xml:space="preserve">TEL 0942-65-3300</t>
    </r>
    <r>
      <rPr>
        <sz val="9"/>
        <color rgb="FF000000"/>
        <rFont val="游ゴシック体"/>
        <family val="2"/>
      </rPr>
      <t xml:space="preserve">　　</t>
    </r>
    <r>
      <rPr>
        <sz val="9"/>
        <color rgb="FF000000"/>
        <rFont val="Yu Gothic"/>
        <family val="0"/>
        <charset val="1"/>
      </rPr>
      <t xml:space="preserve">FAX 0942-65-3301</t>
    </r>
  </si>
  <si>
    <t xml:space="preserve">支払い条件</t>
  </si>
  <si>
    <t xml:space="preserve">ご相談の上</t>
  </si>
  <si>
    <t xml:space="preserve">代表取締役　　　中村　哲也</t>
  </si>
  <si>
    <t xml:space="preserve">有効期限</t>
  </si>
  <si>
    <t xml:space="preserve">お打ち合わせの上</t>
  </si>
  <si>
    <t xml:space="preserve">見積担当</t>
  </si>
  <si>
    <t xml:space="preserve">中村哲也</t>
  </si>
  <si>
    <t xml:space="preserve">工　事　内　容</t>
  </si>
  <si>
    <t xml:space="preserve">No.</t>
  </si>
  <si>
    <t xml:space="preserve">工 事 品 目</t>
  </si>
  <si>
    <t xml:space="preserve">仕 様</t>
  </si>
  <si>
    <t xml:space="preserve">数 量</t>
  </si>
  <si>
    <t xml:space="preserve">単位</t>
  </si>
  <si>
    <t xml:space="preserve">単 価</t>
  </si>
  <si>
    <t xml:space="preserve">金 額</t>
  </si>
  <si>
    <t xml:space="preserve">備 考</t>
  </si>
  <si>
    <t xml:space="preserve">太陽光パネル工事一式</t>
  </si>
  <si>
    <t xml:space="preserve">式</t>
  </si>
  <si>
    <t xml:space="preserve">板金工事一式</t>
  </si>
  <si>
    <t xml:space="preserve">コーキング費用含む</t>
  </si>
  <si>
    <t xml:space="preserve">諸経費</t>
  </si>
  <si>
    <t xml:space="preserve">足場工事　（概算）</t>
  </si>
  <si>
    <t xml:space="preserve">雨漏り調査費用は無料です</t>
  </si>
  <si>
    <t xml:space="preserve">※工事内容明細には消費税が含まれておりません。別途支払い願います。</t>
  </si>
  <si>
    <t xml:space="preserve">合　計</t>
  </si>
  <si>
    <t xml:space="preserve">工　事　内　容　明　細　１</t>
  </si>
  <si>
    <t xml:space="preserve">【 太陽光パネル工事 】</t>
  </si>
  <si>
    <t xml:space="preserve">太陽電池モジュール撤去</t>
  </si>
  <si>
    <t xml:space="preserve">枚</t>
  </si>
  <si>
    <t xml:space="preserve">太陽電池モジュール設置</t>
  </si>
  <si>
    <t xml:space="preserve">配線工事・試運転</t>
  </si>
  <si>
    <t xml:space="preserve">【 板金工事 】</t>
  </si>
  <si>
    <t xml:space="preserve">既存亀裂補修</t>
  </si>
  <si>
    <r>
      <rPr>
        <sz val="11"/>
        <color rgb="FF000000"/>
        <rFont val="Yu Gothic"/>
        <family val="0"/>
        <charset val="1"/>
      </rPr>
      <t xml:space="preserve">GL</t>
    </r>
    <r>
      <rPr>
        <sz val="11"/>
        <color rgb="FF000000"/>
        <rFont val="游ゴシック体"/>
        <family val="2"/>
      </rPr>
      <t xml:space="preserve">鋼板表地</t>
    </r>
    <r>
      <rPr>
        <sz val="11"/>
        <color rgb="FF000000"/>
        <rFont val="Yu Gothic"/>
        <family val="0"/>
        <charset val="1"/>
      </rPr>
      <t xml:space="preserve">0.5</t>
    </r>
    <r>
      <rPr>
        <sz val="11"/>
        <color rgb="FF000000"/>
        <rFont val="游ゴシック体"/>
        <family val="2"/>
      </rPr>
      <t xml:space="preserve">　</t>
    </r>
    <r>
      <rPr>
        <sz val="11"/>
        <color rgb="FF000000"/>
        <rFont val="Yu Gothic"/>
        <family val="0"/>
        <charset val="1"/>
      </rPr>
      <t xml:space="preserve">4m</t>
    </r>
  </si>
  <si>
    <t xml:space="preserve">落としロドレン交換</t>
  </si>
  <si>
    <r>
      <rPr>
        <sz val="11"/>
        <color rgb="FF000000"/>
        <rFont val="游ゴシック体"/>
        <family val="2"/>
      </rPr>
      <t xml:space="preserve">既存竪樋</t>
    </r>
    <r>
      <rPr>
        <sz val="11"/>
        <color rgb="FF000000"/>
        <rFont val="Yu Gothic"/>
        <family val="0"/>
        <charset val="1"/>
      </rPr>
      <t xml:space="preserve">VU100</t>
    </r>
    <r>
      <rPr>
        <sz val="11"/>
        <color rgb="FF000000"/>
        <rFont val="游ゴシック体"/>
        <family val="2"/>
      </rPr>
      <t xml:space="preserve">繋ぎ込み</t>
    </r>
  </si>
  <si>
    <t xml:space="preserve">コーキング撤去およびコーキング処理</t>
  </si>
  <si>
    <t xml:space="preserve">報告書指摘範囲および太陽光撤去後の再コーキングおよび太陽光下の劣化部</t>
  </si>
  <si>
    <t xml:space="preserve">【仮設工事】</t>
  </si>
  <si>
    <r>
      <rPr>
        <sz val="11"/>
        <color rgb="FF000000"/>
        <rFont val="游ゴシック体"/>
        <family val="2"/>
      </rPr>
      <t xml:space="preserve">足場掛け払い </t>
    </r>
    <r>
      <rPr>
        <sz val="11"/>
        <color rgb="FF000000"/>
        <rFont val="Yu Gothic"/>
        <family val="0"/>
        <charset val="1"/>
      </rPr>
      <t xml:space="preserve">100</t>
    </r>
    <r>
      <rPr>
        <sz val="11"/>
        <color rgb="FF000000"/>
        <rFont val="游ゴシック体"/>
        <family val="2"/>
      </rPr>
      <t xml:space="preserve">㎡以下</t>
    </r>
  </si>
  <si>
    <t xml:space="preserve">資材運搬用・昇降用</t>
  </si>
  <si>
    <t xml:space="preserve">内部作業用</t>
  </si>
  <si>
    <t xml:space="preserve">運搬費</t>
  </si>
  <si>
    <t xml:space="preserve">回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</si>
</sst>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¥#,##0"/>
    <numFmt numFmtId="166" formatCode="#,##0"/>
  </numFmts>
  <fonts count="18">
    <font>
      <sz val="11"/>
      <color theme="1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游ゴシック体"/>
      <family val="2"/>
    </font>
    <font>
      <b val="true"/>
      <sz val="11"/>
      <color rgb="FF000000"/>
      <name val="游ゴシック体"/>
      <family val="2"/>
    </font>
    <font>
      <sz val="11"/>
      <color rgb="FF000000"/>
      <name val="Yu Gothic"/>
      <family val="0"/>
      <charset val="1"/>
    </font>
    <font>
      <sz val="11"/>
      <color rgb="FF000000"/>
      <name val="游ゴシック体"/>
      <family val="2"/>
    </font>
    <font>
      <sz val="13"/>
      <color rgb="FF000000"/>
      <name val="游ゴシック体"/>
      <family val="2"/>
    </font>
    <font>
      <b val="true"/>
      <sz val="20"/>
      <color rgb="FF000000"/>
      <name val="Yu Gothic"/>
      <family val="0"/>
      <charset val="1"/>
    </font>
    <font>
      <b val="true"/>
      <sz val="16"/>
      <color rgb="FF000000"/>
      <name val="游ゴシック体"/>
      <family val="2"/>
    </font>
    <font>
      <sz val="9"/>
      <color rgb="FF000000"/>
      <name val="游ゴシック体"/>
      <family val="2"/>
    </font>
    <font>
      <sz val="9"/>
      <color rgb="FF000000"/>
      <name val="Yu Gothic"/>
      <family val="0"/>
      <charset val="1"/>
    </font>
    <font>
      <b val="true"/>
      <sz val="14"/>
      <color rgb="FF000000"/>
      <name val="游ゴシック体"/>
      <family val="2"/>
    </font>
    <font>
      <b val="true"/>
      <sz val="11"/>
      <color rgb="FFFFFFFF"/>
      <name val="Yu Gothic"/>
      <family val="0"/>
      <charset val="1"/>
    </font>
    <font>
      <b val="true"/>
      <sz val="11"/>
      <color rgb="FFFFFFFF"/>
      <name val="游ゴシック体"/>
      <family val="2"/>
    </font>
    <font>
      <sz val="11"/>
      <color rgb="FF0000FF"/>
      <name val="Yu Gothic"/>
      <family val="0"/>
      <charset val="1"/>
    </font>
    <font>
      <b val="true"/>
      <sz val="11"/>
      <color rgb="FF000000"/>
      <name val="Yu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cols>
    <col collapsed="false" customWidth="true" hidden="false" outlineLevel="0" max="1" min="1" style="0" width="2.64"/>
    <col collapsed="false" customWidth="true" hidden="false" outlineLevel="0" max="2" min="2" style="0" width="14.1"/>
    <col collapsed="false" customWidth="true" hidden="false" outlineLevel="0" max="4" min="3" style="0" width="12.33"/>
    <col collapsed="false" customWidth="true" hidden="false" outlineLevel="0" max="6" min="5" style="0" width="10.57"/>
    <col collapsed="false" customWidth="true" hidden="false" outlineLevel="0" max="7" min="7" style="0" width="5.29"/>
    <col collapsed="false" customWidth="true" hidden="false" outlineLevel="0" max="8" min="8" style="0" width="19.38"/>
    <col collapsed="false" customWidth="true" hidden="false" outlineLevel="0" max="9" min="9" style="0" width="14.1"/>
    <col collapsed="false" customWidth="true" hidden="false" outlineLevel="0" max="10" min="10" style="0" width="3.52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B3" s="1"/>
      <c r="C3" s="1"/>
      <c r="D3" s="1"/>
      <c r="E3" s="1"/>
      <c r="F3" s="1"/>
      <c r="G3" s="1"/>
      <c r="H3" s="1"/>
      <c r="I3" s="1"/>
    </row>
    <row r="5" customFormat="false" ht="15" hidden="false" customHeight="false" outlineLevel="0" collapsed="false">
      <c r="G5" s="2" t="s">
        <v>1</v>
      </c>
      <c r="H5" s="3" t="s">
        <v>2</v>
      </c>
      <c r="I5" s="3"/>
    </row>
    <row r="6" customFormat="false" ht="15" hidden="false" customHeight="false" outlineLevel="0" collapsed="false">
      <c r="G6" s="2" t="s">
        <v>3</v>
      </c>
      <c r="H6" s="3" t="s">
        <v>4</v>
      </c>
      <c r="I6" s="3"/>
    </row>
    <row r="8" customFormat="false" ht="16.15" hidden="false" customHeight="false" outlineLevel="0" collapsed="false">
      <c r="B8" s="4" t="s">
        <v>5</v>
      </c>
      <c r="C8" s="4"/>
      <c r="D8" s="5" t="s">
        <v>6</v>
      </c>
    </row>
    <row r="10" customFormat="false" ht="15" hidden="false" customHeight="false" outlineLevel="0" collapsed="false">
      <c r="B10" s="6" t="s">
        <v>7</v>
      </c>
      <c r="C10" s="6"/>
      <c r="D10" s="6"/>
      <c r="E10" s="6"/>
      <c r="F10" s="6"/>
    </row>
    <row r="16" customFormat="false" ht="25.5" hidden="false" customHeight="true" outlineLevel="0" collapsed="false">
      <c r="B16" s="7" t="s">
        <v>8</v>
      </c>
      <c r="C16" s="7"/>
      <c r="D16" s="8" t="n">
        <f aca="false">工事内容!F26*1.1</f>
        <v>883300</v>
      </c>
      <c r="E16" s="8"/>
      <c r="F16" s="8"/>
      <c r="G16" s="5" t="s">
        <v>9</v>
      </c>
    </row>
    <row r="23" customFormat="false" ht="19.7" hidden="false" customHeight="false" outlineLevel="0" collapsed="false">
      <c r="B23" s="9" t="s">
        <v>10</v>
      </c>
      <c r="C23" s="10" t="s">
        <v>11</v>
      </c>
      <c r="D23" s="10"/>
      <c r="E23" s="10"/>
      <c r="F23" s="10"/>
      <c r="H23" s="11" t="s">
        <v>12</v>
      </c>
      <c r="I23" s="11"/>
      <c r="J23" s="11"/>
    </row>
    <row r="24" customFormat="false" ht="15" hidden="false" customHeight="false" outlineLevel="0" collapsed="false">
      <c r="B24" s="9" t="s">
        <v>13</v>
      </c>
      <c r="C24" s="10"/>
      <c r="D24" s="10"/>
      <c r="E24" s="10"/>
      <c r="F24" s="10"/>
      <c r="H24" s="12" t="s">
        <v>14</v>
      </c>
      <c r="I24" s="12"/>
      <c r="J24" s="12"/>
    </row>
    <row r="25" customFormat="false" ht="15" hidden="false" customHeight="false" outlineLevel="0" collapsed="false">
      <c r="B25" s="9" t="s">
        <v>15</v>
      </c>
      <c r="C25" s="10"/>
      <c r="D25" s="10"/>
      <c r="E25" s="10"/>
      <c r="F25" s="10"/>
      <c r="H25" s="13" t="s">
        <v>16</v>
      </c>
      <c r="I25" s="13"/>
      <c r="J25" s="13"/>
    </row>
    <row r="26" customFormat="false" ht="15" hidden="false" customHeight="false" outlineLevel="0" collapsed="false">
      <c r="B26" s="9" t="s">
        <v>17</v>
      </c>
      <c r="C26" s="10" t="s">
        <v>18</v>
      </c>
      <c r="D26" s="10"/>
      <c r="E26" s="10"/>
      <c r="F26" s="10"/>
      <c r="H26" s="12" t="s">
        <v>19</v>
      </c>
      <c r="I26" s="12"/>
      <c r="J26" s="12"/>
    </row>
    <row r="27" customFormat="false" ht="15" hidden="false" customHeight="false" outlineLevel="0" collapsed="false">
      <c r="B27" s="9" t="s">
        <v>20</v>
      </c>
      <c r="C27" s="10" t="s">
        <v>21</v>
      </c>
      <c r="D27" s="10"/>
      <c r="E27" s="10"/>
      <c r="F27" s="10"/>
    </row>
    <row r="28" customFormat="false" ht="15" hidden="false" customHeight="false" outlineLevel="0" collapsed="false">
      <c r="B28" s="9" t="s">
        <v>22</v>
      </c>
      <c r="C28" s="10" t="s">
        <v>23</v>
      </c>
      <c r="D28" s="10"/>
      <c r="E28" s="10"/>
      <c r="F28" s="10"/>
    </row>
  </sheetData>
  <mergeCells count="17">
    <mergeCell ref="B2:I3"/>
    <mergeCell ref="H5:I5"/>
    <mergeCell ref="H6:I6"/>
    <mergeCell ref="B8:C8"/>
    <mergeCell ref="B10:F10"/>
    <mergeCell ref="B16:C16"/>
    <mergeCell ref="D16:F16"/>
    <mergeCell ref="C23:F23"/>
    <mergeCell ref="H23:J23"/>
    <mergeCell ref="C24:F24"/>
    <mergeCell ref="H24:J24"/>
    <mergeCell ref="C25:F25"/>
    <mergeCell ref="H25:J25"/>
    <mergeCell ref="C26:F26"/>
    <mergeCell ref="H26:J26"/>
    <mergeCell ref="C27:F27"/>
    <mergeCell ref="C28:F2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cols>
    <col collapsed="false" customWidth="true" hidden="false" outlineLevel="0" max="1" min="1" style="0" width="3.52"/>
    <col collapsed="false" customWidth="true" hidden="false" outlineLevel="0" max="3" min="2" style="0" width="21.14"/>
    <col collapsed="false" customWidth="true" hidden="false" outlineLevel="0" max="4" min="4" style="0" width="6.17"/>
    <col collapsed="false" customWidth="true" hidden="false" outlineLevel="0" max="5" min="5" style="0" width="5.29"/>
    <col collapsed="false" customWidth="true" hidden="false" outlineLevel="0" max="7" min="6" style="0" width="10.57"/>
    <col collapsed="false" customWidth="true" hidden="false" outlineLevel="0" max="8" min="8" style="0" width="26.43"/>
  </cols>
  <sheetData>
    <row r="1" customFormat="false" ht="17.35" hidden="false" customHeight="false" outlineLevel="0" collapsed="false">
      <c r="A1" s="14" t="s">
        <v>24</v>
      </c>
      <c r="B1" s="14"/>
      <c r="C1" s="14"/>
      <c r="D1" s="14"/>
      <c r="E1" s="14"/>
      <c r="F1" s="14"/>
      <c r="G1" s="14"/>
      <c r="H1" s="14"/>
    </row>
    <row r="3" customFormat="false" ht="15" hidden="false" customHeight="false" outlineLevel="0" collapsed="false">
      <c r="A3" s="15" t="s">
        <v>25</v>
      </c>
      <c r="B3" s="16" t="s">
        <v>26</v>
      </c>
      <c r="C3" s="16" t="s">
        <v>27</v>
      </c>
      <c r="D3" s="16" t="s">
        <v>28</v>
      </c>
      <c r="E3" s="16" t="s">
        <v>29</v>
      </c>
      <c r="F3" s="16" t="s">
        <v>30</v>
      </c>
      <c r="G3" s="16" t="s">
        <v>31</v>
      </c>
      <c r="H3" s="16" t="s">
        <v>32</v>
      </c>
    </row>
    <row r="4" customFormat="false" ht="15" hidden="false" customHeight="false" outlineLevel="0" collapsed="false">
      <c r="A4" s="17" t="n">
        <v>1</v>
      </c>
      <c r="B4" s="18" t="s">
        <v>33</v>
      </c>
      <c r="C4" s="18"/>
      <c r="D4" s="17" t="n">
        <v>1</v>
      </c>
      <c r="E4" s="19" t="s">
        <v>34</v>
      </c>
      <c r="F4" s="20"/>
      <c r="G4" s="20" t="n">
        <f aca="false">工事内容明細1!G5+工事内容明細1!G6+工事内容明細1!G7</f>
        <v>313000</v>
      </c>
      <c r="H4" s="21"/>
    </row>
    <row r="5" customFormat="false" ht="15" hidden="false" customHeight="false" outlineLevel="0" collapsed="false">
      <c r="A5" s="17" t="n">
        <v>2</v>
      </c>
      <c r="B5" s="18" t="s">
        <v>35</v>
      </c>
      <c r="C5" s="18"/>
      <c r="D5" s="17" t="n">
        <v>1</v>
      </c>
      <c r="E5" s="19" t="s">
        <v>34</v>
      </c>
      <c r="F5" s="20"/>
      <c r="G5" s="20" t="n">
        <f aca="false">工事内容明細1!G9+工事内容明細1!G10+工事内容明細1!G11+工事内容明細1!G12</f>
        <v>280000</v>
      </c>
      <c r="H5" s="21" t="s">
        <v>36</v>
      </c>
    </row>
    <row r="6" customFormat="false" ht="15" hidden="false" customHeight="false" outlineLevel="0" collapsed="false">
      <c r="A6" s="17" t="n">
        <v>3</v>
      </c>
      <c r="B6" s="18" t="s">
        <v>37</v>
      </c>
      <c r="C6" s="18"/>
      <c r="D6" s="17" t="n">
        <v>1</v>
      </c>
      <c r="E6" s="19" t="s">
        <v>34</v>
      </c>
      <c r="F6" s="22" t="n">
        <v>20000</v>
      </c>
      <c r="G6" s="20" t="n">
        <f aca="false">D6*F6</f>
        <v>20000</v>
      </c>
      <c r="H6" s="21"/>
    </row>
    <row r="7" customFormat="false" ht="15" hidden="false" customHeight="false" outlineLevel="0" collapsed="false">
      <c r="A7" s="17" t="n">
        <v>4</v>
      </c>
      <c r="B7" s="18" t="s">
        <v>38</v>
      </c>
      <c r="C7" s="18"/>
      <c r="D7" s="17" t="n">
        <v>1</v>
      </c>
      <c r="E7" s="19" t="s">
        <v>34</v>
      </c>
      <c r="F7" s="20"/>
      <c r="G7" s="20" t="n">
        <f aca="false">工事内容明細1!G14+工事内容明細1!G15+工事内容明細1!G16</f>
        <v>190000</v>
      </c>
      <c r="H7" s="21"/>
    </row>
    <row r="8" customFormat="false" ht="15" hidden="false" customHeight="false" outlineLevel="0" collapsed="false">
      <c r="A8" s="18"/>
      <c r="B8" s="23" t="s">
        <v>39</v>
      </c>
      <c r="C8" s="23"/>
      <c r="D8" s="23"/>
      <c r="E8" s="23"/>
      <c r="F8" s="23"/>
      <c r="G8" s="23"/>
      <c r="H8" s="23"/>
    </row>
    <row r="9" customFormat="false" ht="15" hidden="false" customHeight="false" outlineLevel="0" collapsed="false">
      <c r="A9" s="18"/>
      <c r="B9" s="18"/>
      <c r="C9" s="18"/>
      <c r="D9" s="18"/>
      <c r="E9" s="18"/>
      <c r="F9" s="18"/>
      <c r="G9" s="18"/>
      <c r="H9" s="18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8"/>
      <c r="G11" s="18"/>
      <c r="H11" s="18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8"/>
      <c r="G15" s="18"/>
      <c r="H15" s="18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  <c r="G17" s="18"/>
      <c r="H17" s="18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</row>
    <row r="24" customFormat="false" ht="15" hidden="false" customHeight="false" outlineLevel="0" collapsed="false">
      <c r="A24" s="6" t="s">
        <v>40</v>
      </c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</row>
    <row r="26" customFormat="false" ht="15" hidden="false" customHeight="false" outlineLevel="0" collapsed="false">
      <c r="A26" s="24" t="s">
        <v>41</v>
      </c>
      <c r="B26" s="24"/>
      <c r="C26" s="24"/>
      <c r="D26" s="18"/>
      <c r="E26" s="18"/>
      <c r="F26" s="25" t="n">
        <f aca="false">SUM(G4:G7)</f>
        <v>803000</v>
      </c>
      <c r="G26" s="18"/>
      <c r="H26" s="18"/>
    </row>
  </sheetData>
  <mergeCells count="4">
    <mergeCell ref="A1:H1"/>
    <mergeCell ref="B8:H8"/>
    <mergeCell ref="A24:H24"/>
    <mergeCell ref="A26:C2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cols>
    <col collapsed="false" customWidth="true" hidden="false" outlineLevel="0" max="1" min="1" style="0" width="3.52"/>
    <col collapsed="false" customWidth="true" hidden="false" outlineLevel="0" max="2" min="2" style="0" width="21.14"/>
    <col collapsed="false" customWidth="true" hidden="false" outlineLevel="0" max="3" min="3" style="0" width="26.43"/>
    <col collapsed="false" customWidth="true" hidden="false" outlineLevel="0" max="4" min="4" style="0" width="6.17"/>
    <col collapsed="false" customWidth="true" hidden="false" outlineLevel="0" max="5" min="5" style="0" width="5.29"/>
    <col collapsed="false" customWidth="true" hidden="false" outlineLevel="0" max="6" min="6" style="0" width="8.81"/>
    <col collapsed="false" customWidth="true" hidden="false" outlineLevel="0" max="7" min="7" style="0" width="10.57"/>
    <col collapsed="false" customWidth="true" hidden="false" outlineLevel="0" max="8" min="8" style="0" width="28.19"/>
  </cols>
  <sheetData>
    <row r="1" customFormat="false" ht="17.35" hidden="false" customHeight="false" outlineLevel="0" collapsed="false">
      <c r="A1" s="14" t="s">
        <v>42</v>
      </c>
      <c r="B1" s="14"/>
      <c r="C1" s="14"/>
      <c r="D1" s="14"/>
      <c r="E1" s="14"/>
      <c r="F1" s="14"/>
      <c r="G1" s="14"/>
      <c r="H1" s="14"/>
    </row>
    <row r="3" customFormat="false" ht="15" hidden="false" customHeight="false" outlineLevel="0" collapsed="false">
      <c r="A3" s="15" t="s">
        <v>25</v>
      </c>
      <c r="B3" s="16" t="s">
        <v>26</v>
      </c>
      <c r="C3" s="16" t="s">
        <v>27</v>
      </c>
      <c r="D3" s="16" t="s">
        <v>28</v>
      </c>
      <c r="E3" s="16" t="s">
        <v>29</v>
      </c>
      <c r="F3" s="16" t="s">
        <v>30</v>
      </c>
      <c r="G3" s="16" t="s">
        <v>31</v>
      </c>
      <c r="H3" s="16" t="s">
        <v>32</v>
      </c>
    </row>
    <row r="4" customFormat="false" ht="15" hidden="false" customHeight="false" outlineLevel="0" collapsed="false">
      <c r="A4" s="26" t="s">
        <v>43</v>
      </c>
      <c r="B4" s="26"/>
      <c r="C4" s="26"/>
      <c r="D4" s="26"/>
      <c r="E4" s="26"/>
      <c r="F4" s="26"/>
      <c r="G4" s="26"/>
      <c r="H4" s="26"/>
    </row>
    <row r="5" customFormat="false" ht="15" hidden="false" customHeight="false" outlineLevel="0" collapsed="false">
      <c r="A5" s="17" t="n">
        <v>1</v>
      </c>
      <c r="B5" s="18" t="s">
        <v>44</v>
      </c>
      <c r="C5" s="18"/>
      <c r="D5" s="17" t="n">
        <v>24</v>
      </c>
      <c r="E5" s="19" t="s">
        <v>45</v>
      </c>
      <c r="F5" s="22" t="n">
        <v>6000</v>
      </c>
      <c r="G5" s="20" t="n">
        <f aca="false">D5*F5</f>
        <v>144000</v>
      </c>
      <c r="H5" s="21"/>
    </row>
    <row r="6" customFormat="false" ht="15" hidden="false" customHeight="false" outlineLevel="0" collapsed="false">
      <c r="A6" s="17" t="n">
        <v>2</v>
      </c>
      <c r="B6" s="18" t="s">
        <v>46</v>
      </c>
      <c r="C6" s="18"/>
      <c r="D6" s="17" t="n">
        <v>24</v>
      </c>
      <c r="E6" s="19" t="s">
        <v>45</v>
      </c>
      <c r="F6" s="22" t="n">
        <v>6000</v>
      </c>
      <c r="G6" s="20" t="n">
        <f aca="false">D6*F6</f>
        <v>144000</v>
      </c>
      <c r="H6" s="21"/>
    </row>
    <row r="7" customFormat="false" ht="15" hidden="false" customHeight="false" outlineLevel="0" collapsed="false">
      <c r="A7" s="17" t="n">
        <v>3</v>
      </c>
      <c r="B7" s="18" t="s">
        <v>47</v>
      </c>
      <c r="C7" s="18"/>
      <c r="D7" s="17" t="n">
        <v>1</v>
      </c>
      <c r="E7" s="19" t="s">
        <v>34</v>
      </c>
      <c r="F7" s="22" t="n">
        <v>25000</v>
      </c>
      <c r="G7" s="20" t="n">
        <f aca="false">D7*F7</f>
        <v>25000</v>
      </c>
      <c r="H7" s="21"/>
    </row>
    <row r="8" customFormat="false" ht="15" hidden="false" customHeight="false" outlineLevel="0" collapsed="false">
      <c r="A8" s="26" t="s">
        <v>48</v>
      </c>
      <c r="B8" s="26"/>
      <c r="C8" s="26"/>
      <c r="D8" s="26"/>
      <c r="E8" s="26"/>
      <c r="F8" s="26"/>
      <c r="G8" s="26"/>
      <c r="H8" s="26"/>
    </row>
    <row r="9" customFormat="false" ht="15" hidden="false" customHeight="false" outlineLevel="0" collapsed="false">
      <c r="A9" s="17" t="n">
        <v>4</v>
      </c>
      <c r="B9" s="18" t="s">
        <v>49</v>
      </c>
      <c r="C9" s="27" t="s">
        <v>50</v>
      </c>
      <c r="D9" s="17" t="n">
        <v>1</v>
      </c>
      <c r="E9" s="19" t="s">
        <v>34</v>
      </c>
      <c r="F9" s="22" t="n">
        <v>100000</v>
      </c>
      <c r="G9" s="20" t="n">
        <f aca="false">D9*F9</f>
        <v>100000</v>
      </c>
      <c r="H9" s="21"/>
    </row>
    <row r="10" customFormat="false" ht="15" hidden="false" customHeight="false" outlineLevel="0" collapsed="false">
      <c r="A10" s="17" t="n">
        <v>5</v>
      </c>
      <c r="B10" s="18" t="s">
        <v>51</v>
      </c>
      <c r="C10" s="27"/>
      <c r="D10" s="17" t="n">
        <v>1</v>
      </c>
      <c r="E10" s="19" t="s">
        <v>34</v>
      </c>
      <c r="F10" s="22" t="n">
        <v>45000</v>
      </c>
      <c r="G10" s="20" t="n">
        <f aca="false">D10*F10</f>
        <v>45000</v>
      </c>
      <c r="H10" s="21"/>
    </row>
    <row r="11" customFormat="false" ht="15" hidden="false" customHeight="false" outlineLevel="0" collapsed="false">
      <c r="A11" s="17" t="n">
        <v>6</v>
      </c>
      <c r="B11" s="18" t="s">
        <v>52</v>
      </c>
      <c r="C11" s="27"/>
      <c r="D11" s="17" t="n">
        <v>1</v>
      </c>
      <c r="E11" s="19" t="s">
        <v>34</v>
      </c>
      <c r="F11" s="22" t="n">
        <v>35000</v>
      </c>
      <c r="G11" s="20" t="n">
        <f aca="false">D11*F11</f>
        <v>35000</v>
      </c>
      <c r="H11" s="21"/>
    </row>
    <row r="12" customFormat="false" ht="30" hidden="false" customHeight="true" outlineLevel="0" collapsed="false">
      <c r="A12" s="17" t="n">
        <v>7</v>
      </c>
      <c r="B12" s="18" t="s">
        <v>53</v>
      </c>
      <c r="C12" s="21" t="s">
        <v>54</v>
      </c>
      <c r="D12" s="17" t="n">
        <v>1</v>
      </c>
      <c r="E12" s="19" t="s">
        <v>34</v>
      </c>
      <c r="F12" s="22" t="n">
        <v>100000</v>
      </c>
      <c r="G12" s="20" t="n">
        <f aca="false">D12*F12</f>
        <v>100000</v>
      </c>
      <c r="H12" s="21"/>
    </row>
    <row r="13" customFormat="false" ht="15" hidden="false" customHeight="false" outlineLevel="0" collapsed="false">
      <c r="A13" s="26" t="s">
        <v>55</v>
      </c>
      <c r="B13" s="26"/>
      <c r="C13" s="26"/>
      <c r="D13" s="26"/>
      <c r="E13" s="26"/>
      <c r="F13" s="26"/>
      <c r="G13" s="26"/>
      <c r="H13" s="26"/>
    </row>
    <row r="14" customFormat="false" ht="15" hidden="false" customHeight="false" outlineLevel="0" collapsed="false">
      <c r="A14" s="17"/>
      <c r="B14" s="18" t="s">
        <v>56</v>
      </c>
      <c r="C14" s="18" t="s">
        <v>57</v>
      </c>
      <c r="D14" s="17" t="n">
        <v>1</v>
      </c>
      <c r="E14" s="19" t="s">
        <v>34</v>
      </c>
      <c r="F14" s="22" t="n">
        <v>80000</v>
      </c>
      <c r="G14" s="20" t="n">
        <f aca="false">D14*F14</f>
        <v>80000</v>
      </c>
      <c r="H14" s="21"/>
    </row>
    <row r="15" customFormat="false" ht="15" hidden="false" customHeight="false" outlineLevel="0" collapsed="false">
      <c r="A15" s="17"/>
      <c r="B15" s="18" t="s">
        <v>56</v>
      </c>
      <c r="C15" s="18" t="s">
        <v>58</v>
      </c>
      <c r="D15" s="17" t="n">
        <v>1</v>
      </c>
      <c r="E15" s="19" t="s">
        <v>34</v>
      </c>
      <c r="F15" s="22" t="n">
        <v>80000</v>
      </c>
      <c r="G15" s="20" t="n">
        <f aca="false">D15*F15</f>
        <v>80000</v>
      </c>
      <c r="H15" s="21"/>
    </row>
    <row r="16" customFormat="false" ht="15" hidden="false" customHeight="false" outlineLevel="0" collapsed="false">
      <c r="A16" s="17"/>
      <c r="B16" s="18" t="s">
        <v>59</v>
      </c>
      <c r="C16" s="27"/>
      <c r="D16" s="17" t="n">
        <v>2</v>
      </c>
      <c r="E16" s="19" t="s">
        <v>60</v>
      </c>
      <c r="F16" s="22" t="n">
        <v>15000</v>
      </c>
      <c r="G16" s="20" t="n">
        <f aca="false">D16*F16</f>
        <v>30000</v>
      </c>
      <c r="H16" s="21"/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  <c r="G17" s="27"/>
      <c r="H17" s="27"/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7"/>
      <c r="H19" s="27"/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7"/>
      <c r="H20" s="27"/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7"/>
      <c r="H21" s="27"/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7"/>
      <c r="H24" s="27"/>
    </row>
    <row r="25" customFormat="false" ht="15" hidden="false" customHeight="false" outlineLevel="0" collapsed="false">
      <c r="A25" s="6" t="s">
        <v>40</v>
      </c>
      <c r="B25" s="6"/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</row>
    <row r="27" customFormat="false" ht="15" hidden="false" customHeight="false" outlineLevel="0" collapsed="false">
      <c r="A27" s="24" t="s">
        <v>41</v>
      </c>
      <c r="B27" s="24"/>
      <c r="C27" s="24"/>
      <c r="D27" s="27"/>
      <c r="E27" s="27"/>
      <c r="F27" s="27"/>
      <c r="G27" s="25" t="n">
        <f aca="false">SUM(G5:G16)</f>
        <v>783000</v>
      </c>
      <c r="H27" s="27"/>
    </row>
  </sheetData>
  <mergeCells count="6">
    <mergeCell ref="A1:H1"/>
    <mergeCell ref="A4:H4"/>
    <mergeCell ref="A8:H8"/>
    <mergeCell ref="A13:H13"/>
    <mergeCell ref="A25:H25"/>
    <mergeCell ref="A27:C2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2026-06-23T02:40:31Z</dcterms:created>
  <dc:creator>openpyxl</dc:creator>
  <dc:description/>
  <dc:language>ja-JP</dc:language>
  <cp:lastModifiedBy/>
  <dcterms:modified xsi:type="dcterms:W3CDTF">2026-06-23T02:40:31Z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